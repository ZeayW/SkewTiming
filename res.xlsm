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ziyiwang/Documents/GitHub/RTL-Timing-Prediction/"/>
    </mc:Choice>
  </mc:AlternateContent>
  <xr:revisionPtr revIDLastSave="0" documentId="13_ncr:40009_{512A1473-4F7C-2A4C-AB05-AF2E1CEDBFBA}" xr6:coauthVersionLast="47" xr6:coauthVersionMax="47" xr10:uidLastSave="{00000000-0000-0000-0000-000000000000}"/>
  <bookViews>
    <workbookView xWindow="-120" yWindow="1540" windowWidth="28660" windowHeight="16880" activeTab="9"/>
  </bookViews>
  <sheets>
    <sheet name="res open" sheetId="1" r:id="rId1"/>
    <sheet name="res open new" sheetId="8" r:id="rId2"/>
    <sheet name="abl set" sheetId="4" r:id="rId3"/>
    <sheet name="res abl" sheetId="5" r:id="rId4"/>
    <sheet name="Sheet5" sheetId="6" r:id="rId5"/>
    <sheet name="runtime" sheetId="7" r:id="rId6"/>
    <sheet name="data syn" sheetId="2" r:id="rId7"/>
    <sheet name="res syn" sheetId="3" r:id="rId8"/>
    <sheet name="res syn new" sheetId="9" r:id="rId9"/>
    <sheet name="Sheet9" sheetId="10" r:id="rId10"/>
  </sheets>
  <calcPr calcId="0"/>
</workbook>
</file>

<file path=xl/calcChain.xml><?xml version="1.0" encoding="utf-8"?>
<calcChain xmlns="http://schemas.openxmlformats.org/spreadsheetml/2006/main">
  <c r="C21" i="5" l="1"/>
  <c r="D21" i="5"/>
  <c r="E21" i="5"/>
  <c r="F21" i="5"/>
  <c r="G21" i="5"/>
  <c r="H21" i="5"/>
  <c r="I21" i="5"/>
  <c r="J21" i="5"/>
  <c r="B21" i="5"/>
</calcChain>
</file>

<file path=xl/sharedStrings.xml><?xml version="1.0" encoding="utf-8"?>
<sst xmlns="http://schemas.openxmlformats.org/spreadsheetml/2006/main" count="222" uniqueCount="89">
  <si>
    <t>Benchmark</t>
  </si>
  <si>
    <t>accnn</t>
  </si>
  <si>
    <t>gt</t>
  </si>
  <si>
    <t>masterrtl</t>
  </si>
  <si>
    <t>rtltimer</t>
  </si>
  <si>
    <t>ours</t>
  </si>
  <si>
    <t>Design</t>
  </si>
  <si>
    <t>#K nodes</t>
  </si>
  <si>
    <t>#K ep</t>
  </si>
  <si>
    <t>R2</t>
  </si>
  <si>
    <t>MAPE (%)</t>
  </si>
  <si>
    <t>gpio</t>
  </si>
  <si>
    <t>pwm</t>
  </si>
  <si>
    <t>ps2</t>
  </si>
  <si>
    <t>ac97_ctrl</t>
  </si>
  <si>
    <t>pid_controller</t>
  </si>
  <si>
    <t>wb_lcd</t>
  </si>
  <si>
    <t>uart16550</t>
  </si>
  <si>
    <t>systemcaes</t>
  </si>
  <si>
    <t>picorv32</t>
  </si>
  <si>
    <t>oc_wb_dma</t>
  </si>
  <si>
    <t>wb_dma</t>
  </si>
  <si>
    <t>oc_mem_ctrl</t>
  </si>
  <si>
    <t>y_quantizer</t>
  </si>
  <si>
    <t>y_huff</t>
  </si>
  <si>
    <t>wb_conmax</t>
  </si>
  <si>
    <t>ecg</t>
  </si>
  <si>
    <t>y_dct</t>
  </si>
  <si>
    <t>aes128</t>
  </si>
  <si>
    <t>AVG.</t>
  </si>
  <si>
    <t>Group</t>
    <phoneticPr fontId="18" type="noConversion"/>
  </si>
  <si>
    <t>#Designs</t>
    <phoneticPr fontId="18" type="noConversion"/>
  </si>
  <si>
    <t>#K Nodes</t>
    <phoneticPr fontId="18" type="noConversion"/>
  </si>
  <si>
    <t># Endpoints</t>
    <phoneticPr fontId="18" type="noConversion"/>
  </si>
  <si>
    <t>range</t>
    <phoneticPr fontId="18" type="noConversion"/>
  </si>
  <si>
    <t>average</t>
    <phoneticPr fontId="18" type="noConversion"/>
  </si>
  <si>
    <t>1~20</t>
    <phoneticPr fontId="18" type="noConversion"/>
  </si>
  <si>
    <t>10~150</t>
    <phoneticPr fontId="18" type="noConversion"/>
  </si>
  <si>
    <t>20-80</t>
    <phoneticPr fontId="18" type="noConversion"/>
  </si>
  <si>
    <t>30~350</t>
    <phoneticPr fontId="18" type="noConversion"/>
  </si>
  <si>
    <t>SYN 1</t>
    <phoneticPr fontId="18" type="noConversion"/>
  </si>
  <si>
    <t>SYN 2</t>
    <phoneticPr fontId="18" type="noConversion"/>
  </si>
  <si>
    <t>Train</t>
    <phoneticPr fontId="18" type="noConversion"/>
  </si>
  <si>
    <t>Test</t>
    <phoneticPr fontId="18" type="noConversion"/>
  </si>
  <si>
    <t>Model</t>
    <phoneticPr fontId="18" type="noConversion"/>
  </si>
  <si>
    <t>global</t>
    <phoneticPr fontId="18" type="noConversion"/>
  </si>
  <si>
    <t>Designs</t>
  </si>
  <si>
    <t>#ep</t>
  </si>
  <si>
    <t>LoRD^{-pg}</t>
    <phoneticPr fontId="18" type="noConversion"/>
  </si>
  <si>
    <t>LoRD^{-p}</t>
    <phoneticPr fontId="18" type="noConversion"/>
  </si>
  <si>
    <t>LoRD^{-g}</t>
    <phoneticPr fontId="18" type="noConversion"/>
  </si>
  <si>
    <t>LoRD</t>
    <phoneticPr fontId="18" type="noConversion"/>
  </si>
  <si>
    <t>R2</t>
    <phoneticPr fontId="18" type="noConversion"/>
  </si>
  <si>
    <t>MAPE</t>
    <phoneticPr fontId="18" type="noConversion"/>
  </si>
  <si>
    <t>AVG.</t>
    <phoneticPr fontId="18" type="noConversion"/>
  </si>
  <si>
    <t>Method</t>
  </si>
  <si>
    <t>Strengths</t>
  </si>
  <si>
    <t>Limitations</t>
  </si>
  <si>
    <t>Heuristic-Based</t>
  </si>
  <si>
    <t>Learning-Based</t>
  </si>
  <si>
    <t>Proven for well-defined objectives</t>
    <phoneticPr fontId="18" type="noConversion"/>
  </si>
  <si>
    <t>Interpretable optimization rules</t>
    <phoneticPr fontId="18" type="noConversion"/>
  </si>
  <si>
    <t>Suboptimal for look-ahead optimization problems</t>
    <phoneticPr fontId="18" type="noConversion"/>
  </si>
  <si>
    <t>Guarantee of valid solution</t>
    <phoneticPr fontId="18" type="noConversion"/>
  </si>
  <si>
    <t>Limited adaptability</t>
    <phoneticPr fontId="18" type="noConversion"/>
  </si>
  <si>
    <t>Generalizable across designs</t>
    <phoneticPr fontId="18" type="noConversion"/>
  </si>
  <si>
    <t>Hard to satisfy complex constraints</t>
    <phoneticPr fontId="18" type="noConversion"/>
  </si>
  <si>
    <t>Predictive modeling of complex cross-stage relationships</t>
    <phoneticPr fontId="18" type="noConversion"/>
  </si>
  <si>
    <t>red_verilog</t>
    <phoneticPr fontId="18" type="noConversion"/>
  </si>
  <si>
    <t>OPT stage1</t>
    <phoneticPr fontId="18" type="noConversion"/>
  </si>
  <si>
    <t>map macro</t>
    <phoneticPr fontId="18" type="noConversion"/>
  </si>
  <si>
    <t>timer</t>
    <phoneticPr fontId="18" type="noConversion"/>
  </si>
  <si>
    <t>WISHBONE Interconnect Matrix IP core</t>
  </si>
  <si>
    <t>OpenCores</t>
    <phoneticPr fontId="18" type="noConversion"/>
  </si>
  <si>
    <t>JPEG Encoder Discrete Cosine Transform</t>
    <phoneticPr fontId="18" type="noConversion"/>
  </si>
  <si>
    <t xml:space="preserve"> JPEG Encoder Huffman encoding </t>
    <phoneticPr fontId="18" type="noConversion"/>
  </si>
  <si>
    <t>Elliptic Curve Group core</t>
  </si>
  <si>
    <t>JPEG quantization module</t>
    <phoneticPr fontId="18" type="noConversion"/>
  </si>
  <si>
    <t>Memory Controller</t>
  </si>
  <si>
    <t> DMA/Bridge IP core</t>
  </si>
  <si>
    <t> CPU core that implements the RISC-V RV32IMC Instruction Se</t>
  </si>
  <si>
    <t>16550 compatible (mostly) UART core</t>
  </si>
  <si>
    <r>
      <t>LCD character display controller with Wishbone and memory mapped interfaces</t>
    </r>
    <r>
      <rPr>
        <sz val="14"/>
        <color rgb="FF474747"/>
        <rFont val="Helvetica Neue"/>
        <family val="2"/>
      </rPr>
      <t>.</t>
    </r>
  </si>
  <si>
    <t>digital proportional–integral–derivative controller </t>
  </si>
  <si>
    <t>AC 97 Controller Core. It provides a an interface to an external AC 97 Audio Codec</t>
  </si>
  <si>
    <t> interface hardware to allow using a ps2 mouse or keyboard in your project.</t>
  </si>
  <si>
    <t>Pulse Width Modulator.</t>
  </si>
  <si>
    <r>
      <t>general-purpose I/O controller</t>
    </r>
    <r>
      <rPr>
        <sz val="14"/>
        <color rgb="FF474747"/>
        <rFont val="Helvetica Neue"/>
        <family val="2"/>
      </rPr>
      <t>.</t>
    </r>
  </si>
  <si>
    <t>Cryptographic Arithmetic 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</si>
</sst>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81" formatCode="0.000"/>
    <numFmt numFmtId="182" formatCode="0.0"/>
  </numFmts>
  <fonts count="25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rgb="FF000000"/>
      <name val="等线"/>
      <family val="4"/>
      <charset val="134"/>
      <scheme val="minor"/>
    </font>
    <font>
      <sz val="11"/>
      <color rgb="FF000000"/>
      <name val="Menlo"/>
      <family val="2"/>
    </font>
    <font>
      <b/>
      <sz val="12"/>
      <color theme="1"/>
      <name val="等线"/>
      <family val="4"/>
      <charset val="134"/>
      <scheme val="minor"/>
    </font>
    <font>
      <u/>
      <sz val="12"/>
      <color theme="10"/>
      <name val="等线"/>
      <family val="2"/>
      <charset val="134"/>
      <scheme val="minor"/>
    </font>
    <font>
      <sz val="12"/>
      <color theme="1"/>
      <name val="等线"/>
      <family val="4"/>
      <charset val="134"/>
      <scheme val="minor"/>
    </font>
    <font>
      <sz val="14"/>
      <color rgb="FF474747"/>
      <name val="Helvetica Neue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5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81" fontId="0" fillId="0" borderId="0" xfId="0" applyNumberFormat="1">
      <alignment vertical="center"/>
    </xf>
    <xf numFmtId="2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0" fontId="22" fillId="0" borderId="0" xfId="42">
      <alignment vertical="center"/>
    </xf>
  </cellXfs>
  <cellStyles count="43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超链接" xfId="42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hyperlink" Target="https://opencores-jpegencoder.readthedocs.io/" TargetMode="External"/><Relationship Id="rId1" Type="http://schemas.openxmlformats.org/officeDocument/2006/relationships/hyperlink" Target="https://opencores-jpegencoder.readthedocs.i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1"/>
  <sheetViews>
    <sheetView workbookViewId="0">
      <selection activeCell="A3" sqref="A3:A20"/>
    </sheetView>
  </sheetViews>
  <sheetFormatPr baseColWidth="10" defaultRowHeight="16"/>
  <sheetData>
    <row r="1" spans="1:16">
      <c r="A1" t="s">
        <v>0</v>
      </c>
      <c r="D1" t="s">
        <v>1</v>
      </c>
      <c r="F1" t="s">
        <v>2</v>
      </c>
      <c r="H1" t="s">
        <v>3</v>
      </c>
      <c r="J1" t="s">
        <v>4</v>
      </c>
      <c r="L1" t="s">
        <v>5</v>
      </c>
    </row>
    <row r="2" spans="1:16">
      <c r="A2" t="s">
        <v>6</v>
      </c>
      <c r="B2" t="s">
        <v>7</v>
      </c>
      <c r="C2" t="s">
        <v>8</v>
      </c>
      <c r="D2" t="s">
        <v>9</v>
      </c>
      <c r="E2" t="s">
        <v>10</v>
      </c>
      <c r="F2" t="s">
        <v>9</v>
      </c>
      <c r="G2" t="s">
        <v>10</v>
      </c>
      <c r="H2" t="s">
        <v>9</v>
      </c>
      <c r="I2" t="s">
        <v>10</v>
      </c>
      <c r="J2" t="s">
        <v>9</v>
      </c>
      <c r="K2" t="s">
        <v>10</v>
      </c>
      <c r="L2" t="s">
        <v>9</v>
      </c>
      <c r="M2" t="s">
        <v>10</v>
      </c>
    </row>
    <row r="3" spans="1:16">
      <c r="A3" t="s">
        <v>11</v>
      </c>
      <c r="B3">
        <v>1.8</v>
      </c>
      <c r="C3" s="10">
        <v>0.4</v>
      </c>
      <c r="D3">
        <v>0.15</v>
      </c>
      <c r="E3">
        <v>13.8</v>
      </c>
      <c r="F3">
        <v>-0.11</v>
      </c>
      <c r="G3">
        <v>19.8</v>
      </c>
      <c r="H3">
        <v>0.16</v>
      </c>
      <c r="I3">
        <v>14.5</v>
      </c>
      <c r="J3">
        <v>-0.15</v>
      </c>
      <c r="K3">
        <v>13.6</v>
      </c>
      <c r="L3">
        <v>0.91</v>
      </c>
      <c r="M3">
        <v>4.5999999999999996</v>
      </c>
      <c r="O3">
        <v>1793</v>
      </c>
      <c r="P3">
        <v>375</v>
      </c>
    </row>
    <row r="4" spans="1:16">
      <c r="A4" t="s">
        <v>12</v>
      </c>
      <c r="B4">
        <v>3.6</v>
      </c>
      <c r="C4">
        <v>0.2</v>
      </c>
      <c r="D4">
        <v>0.66</v>
      </c>
      <c r="E4">
        <v>10.4</v>
      </c>
      <c r="F4">
        <v>-0.41</v>
      </c>
      <c r="G4">
        <v>24.9</v>
      </c>
      <c r="H4">
        <v>0.75</v>
      </c>
      <c r="I4">
        <v>10.199999999999999</v>
      </c>
      <c r="J4">
        <v>0.55000000000000004</v>
      </c>
      <c r="K4">
        <v>12.2</v>
      </c>
      <c r="L4">
        <v>0.84</v>
      </c>
      <c r="M4">
        <v>7.1</v>
      </c>
      <c r="O4">
        <v>3555</v>
      </c>
      <c r="P4">
        <v>162</v>
      </c>
    </row>
    <row r="5" spans="1:16">
      <c r="A5" t="s">
        <v>13</v>
      </c>
      <c r="B5">
        <v>3.7</v>
      </c>
      <c r="C5">
        <v>0.2</v>
      </c>
      <c r="D5">
        <v>0.54</v>
      </c>
      <c r="E5">
        <v>15.4</v>
      </c>
      <c r="F5">
        <v>-0.06</v>
      </c>
      <c r="G5">
        <v>30.2</v>
      </c>
      <c r="H5">
        <v>0.18</v>
      </c>
      <c r="I5">
        <v>20.6</v>
      </c>
      <c r="J5">
        <v>0.71</v>
      </c>
      <c r="K5">
        <v>11.2</v>
      </c>
      <c r="L5">
        <v>0.78</v>
      </c>
      <c r="M5">
        <v>10.6</v>
      </c>
      <c r="O5">
        <v>3713</v>
      </c>
      <c r="P5">
        <v>204</v>
      </c>
    </row>
    <row r="6" spans="1:16">
      <c r="A6" t="s">
        <v>14</v>
      </c>
      <c r="B6">
        <v>7.1</v>
      </c>
      <c r="C6">
        <v>0.4</v>
      </c>
      <c r="D6">
        <v>0.61</v>
      </c>
      <c r="E6">
        <v>13.5</v>
      </c>
      <c r="F6">
        <v>0</v>
      </c>
      <c r="G6">
        <v>29</v>
      </c>
      <c r="H6">
        <v>-0.04</v>
      </c>
      <c r="I6">
        <v>22.3</v>
      </c>
      <c r="J6">
        <v>0.38</v>
      </c>
      <c r="K6">
        <v>16.2</v>
      </c>
      <c r="L6">
        <v>0.74</v>
      </c>
      <c r="M6">
        <v>10.8</v>
      </c>
      <c r="O6">
        <v>7102</v>
      </c>
      <c r="P6">
        <v>365</v>
      </c>
    </row>
    <row r="7" spans="1:16">
      <c r="A7" t="s">
        <v>15</v>
      </c>
      <c r="B7">
        <v>9</v>
      </c>
      <c r="C7">
        <v>0.4</v>
      </c>
      <c r="D7">
        <v>0.4</v>
      </c>
      <c r="E7">
        <v>10.9</v>
      </c>
      <c r="F7">
        <v>-0.7</v>
      </c>
      <c r="G7">
        <v>23.1</v>
      </c>
      <c r="H7">
        <v>0.31</v>
      </c>
      <c r="I7">
        <v>14</v>
      </c>
      <c r="J7">
        <v>0.79</v>
      </c>
      <c r="K7">
        <v>6.8</v>
      </c>
      <c r="L7">
        <v>0.76</v>
      </c>
      <c r="M7">
        <v>7.1</v>
      </c>
      <c r="O7">
        <v>9013</v>
      </c>
      <c r="P7">
        <v>416</v>
      </c>
    </row>
    <row r="8" spans="1:16">
      <c r="A8" t="s">
        <v>16</v>
      </c>
      <c r="B8">
        <v>10.1</v>
      </c>
      <c r="C8">
        <v>0.6</v>
      </c>
      <c r="D8">
        <v>0.6</v>
      </c>
      <c r="E8">
        <v>9.3000000000000007</v>
      </c>
      <c r="F8">
        <v>-0.26</v>
      </c>
      <c r="G8">
        <v>21.4</v>
      </c>
      <c r="H8">
        <v>0.1</v>
      </c>
      <c r="I8">
        <v>16.8</v>
      </c>
      <c r="J8">
        <v>0.76</v>
      </c>
      <c r="K8">
        <v>7.5</v>
      </c>
      <c r="L8">
        <v>0.93</v>
      </c>
      <c r="M8">
        <v>4.5</v>
      </c>
      <c r="O8">
        <v>10081</v>
      </c>
      <c r="P8">
        <v>641</v>
      </c>
    </row>
    <row r="9" spans="1:16">
      <c r="A9" t="s">
        <v>17</v>
      </c>
      <c r="B9">
        <v>11.3</v>
      </c>
      <c r="C9">
        <v>0.6</v>
      </c>
      <c r="D9">
        <v>0.26</v>
      </c>
      <c r="E9">
        <v>8.8000000000000007</v>
      </c>
      <c r="F9">
        <v>-0.74</v>
      </c>
      <c r="G9">
        <v>19</v>
      </c>
      <c r="H9">
        <v>-0.31</v>
      </c>
      <c r="I9">
        <v>14</v>
      </c>
      <c r="J9">
        <v>0.65</v>
      </c>
      <c r="K9">
        <v>6.5</v>
      </c>
      <c r="L9">
        <v>0.78</v>
      </c>
      <c r="M9">
        <v>5.4</v>
      </c>
      <c r="O9">
        <v>11294</v>
      </c>
      <c r="P9">
        <v>560</v>
      </c>
    </row>
    <row r="10" spans="1:16">
      <c r="A10" t="s">
        <v>18</v>
      </c>
      <c r="B10">
        <v>15.4</v>
      </c>
      <c r="C10">
        <v>0.7</v>
      </c>
      <c r="D10">
        <v>0.12</v>
      </c>
      <c r="E10">
        <v>12.6</v>
      </c>
      <c r="F10">
        <v>-1.18</v>
      </c>
      <c r="G10">
        <v>28.6</v>
      </c>
      <c r="H10">
        <v>0.47</v>
      </c>
      <c r="I10">
        <v>12</v>
      </c>
      <c r="J10">
        <v>0.57999999999999996</v>
      </c>
      <c r="K10">
        <v>10.9</v>
      </c>
      <c r="L10">
        <v>0.79</v>
      </c>
      <c r="M10">
        <v>6.4</v>
      </c>
      <c r="O10">
        <v>15383</v>
      </c>
      <c r="P10">
        <v>670</v>
      </c>
    </row>
    <row r="11" spans="1:16">
      <c r="A11" t="s">
        <v>19</v>
      </c>
      <c r="B11">
        <v>28.6</v>
      </c>
      <c r="C11">
        <v>1.6</v>
      </c>
      <c r="D11">
        <v>0.67</v>
      </c>
      <c r="E11">
        <v>5.8</v>
      </c>
      <c r="F11">
        <v>-2.15</v>
      </c>
      <c r="G11">
        <v>22.5</v>
      </c>
      <c r="H11">
        <v>0.1</v>
      </c>
      <c r="I11">
        <v>10.7</v>
      </c>
      <c r="J11">
        <v>0.69</v>
      </c>
      <c r="K11">
        <v>5.6</v>
      </c>
      <c r="L11">
        <v>0.83</v>
      </c>
      <c r="M11">
        <v>3.8</v>
      </c>
      <c r="O11">
        <v>28566</v>
      </c>
      <c r="P11">
        <v>1553</v>
      </c>
    </row>
    <row r="12" spans="1:16">
      <c r="A12" t="s">
        <v>20</v>
      </c>
      <c r="B12">
        <v>32.5</v>
      </c>
      <c r="C12">
        <v>2</v>
      </c>
      <c r="D12">
        <v>-0.02</v>
      </c>
      <c r="E12">
        <v>10.7</v>
      </c>
      <c r="F12">
        <v>-1.47</v>
      </c>
      <c r="G12">
        <v>28.9</v>
      </c>
      <c r="H12">
        <v>0.56999999999999995</v>
      </c>
      <c r="I12">
        <v>11.1</v>
      </c>
      <c r="J12">
        <v>0.69</v>
      </c>
      <c r="K12">
        <v>8.6999999999999993</v>
      </c>
      <c r="L12">
        <v>0.81</v>
      </c>
      <c r="M12">
        <v>6.5</v>
      </c>
      <c r="O12">
        <v>32526</v>
      </c>
      <c r="P12">
        <v>1953</v>
      </c>
    </row>
    <row r="13" spans="1:16">
      <c r="A13" t="s">
        <v>21</v>
      </c>
      <c r="B13">
        <v>32.5</v>
      </c>
      <c r="C13">
        <v>0.7</v>
      </c>
      <c r="D13">
        <v>0.06</v>
      </c>
      <c r="E13">
        <v>21.3</v>
      </c>
      <c r="F13">
        <v>-0.41</v>
      </c>
      <c r="G13">
        <v>31.7</v>
      </c>
      <c r="H13">
        <v>0.69</v>
      </c>
      <c r="I13">
        <v>12.2</v>
      </c>
      <c r="J13">
        <v>0.63</v>
      </c>
      <c r="K13">
        <v>12.3</v>
      </c>
      <c r="L13">
        <v>0.95</v>
      </c>
      <c r="M13">
        <v>4.5</v>
      </c>
      <c r="O13">
        <v>32526</v>
      </c>
      <c r="P13">
        <v>701</v>
      </c>
    </row>
    <row r="14" spans="1:16">
      <c r="A14" t="s">
        <v>22</v>
      </c>
      <c r="B14">
        <v>34.9</v>
      </c>
      <c r="C14">
        <v>1.8</v>
      </c>
      <c r="D14">
        <v>-0.7</v>
      </c>
      <c r="E14">
        <v>23</v>
      </c>
      <c r="F14">
        <v>-1.1200000000000001</v>
      </c>
      <c r="G14">
        <v>34.4</v>
      </c>
      <c r="H14">
        <v>0.56999999999999995</v>
      </c>
      <c r="I14">
        <v>17.3</v>
      </c>
      <c r="J14">
        <v>0.42</v>
      </c>
      <c r="K14">
        <v>17</v>
      </c>
      <c r="L14">
        <v>0.61</v>
      </c>
      <c r="M14">
        <v>13.4</v>
      </c>
      <c r="O14">
        <v>34868</v>
      </c>
      <c r="P14">
        <v>1779</v>
      </c>
    </row>
    <row r="15" spans="1:16">
      <c r="A15" t="s">
        <v>23</v>
      </c>
      <c r="B15">
        <v>40.700000000000003</v>
      </c>
      <c r="C15">
        <v>2.8</v>
      </c>
      <c r="D15">
        <v>0.54</v>
      </c>
      <c r="E15">
        <v>16.100000000000001</v>
      </c>
      <c r="F15">
        <v>-0.04</v>
      </c>
      <c r="G15">
        <v>32.799999999999997</v>
      </c>
      <c r="H15">
        <v>0.28999999999999998</v>
      </c>
      <c r="I15">
        <v>16.2</v>
      </c>
      <c r="J15">
        <v>-0.66</v>
      </c>
      <c r="K15">
        <v>26.6</v>
      </c>
      <c r="L15">
        <v>0.8</v>
      </c>
      <c r="M15">
        <v>10.9</v>
      </c>
      <c r="O15">
        <v>40716</v>
      </c>
      <c r="P15">
        <v>2820</v>
      </c>
    </row>
    <row r="16" spans="1:16">
      <c r="A16" t="s">
        <v>24</v>
      </c>
      <c r="B16">
        <v>41.6</v>
      </c>
      <c r="C16">
        <v>2.4</v>
      </c>
      <c r="D16">
        <v>0.51</v>
      </c>
      <c r="E16">
        <v>11.9</v>
      </c>
      <c r="F16">
        <v>-0.01</v>
      </c>
      <c r="G16">
        <v>22.1</v>
      </c>
      <c r="H16">
        <v>-0.1</v>
      </c>
      <c r="I16">
        <v>18.7</v>
      </c>
      <c r="J16">
        <v>7.0000000000000007E-2</v>
      </c>
      <c r="K16">
        <v>14.7</v>
      </c>
      <c r="L16">
        <v>0.79</v>
      </c>
      <c r="M16">
        <v>8.1999999999999993</v>
      </c>
      <c r="O16">
        <v>41599</v>
      </c>
      <c r="P16">
        <v>2350</v>
      </c>
    </row>
    <row r="17" spans="1:16">
      <c r="A17" t="s">
        <v>25</v>
      </c>
      <c r="B17">
        <v>59.8</v>
      </c>
      <c r="C17">
        <v>2</v>
      </c>
      <c r="D17">
        <v>0.16</v>
      </c>
      <c r="E17">
        <v>9.6</v>
      </c>
      <c r="F17">
        <v>-1.49</v>
      </c>
      <c r="G17">
        <v>21.3</v>
      </c>
      <c r="H17">
        <v>0.14000000000000001</v>
      </c>
      <c r="I17">
        <v>11</v>
      </c>
      <c r="J17">
        <v>0.7</v>
      </c>
      <c r="K17">
        <v>6.3</v>
      </c>
      <c r="L17">
        <v>0.84</v>
      </c>
      <c r="M17">
        <v>4.4000000000000004</v>
      </c>
      <c r="O17">
        <v>59757</v>
      </c>
      <c r="P17">
        <v>2032</v>
      </c>
    </row>
    <row r="18" spans="1:16">
      <c r="A18" t="s">
        <v>26</v>
      </c>
      <c r="B18">
        <v>177.7</v>
      </c>
      <c r="C18">
        <v>7.3</v>
      </c>
      <c r="D18">
        <v>-0.15</v>
      </c>
      <c r="E18">
        <v>13.6</v>
      </c>
      <c r="F18">
        <v>-0.06</v>
      </c>
      <c r="G18">
        <v>21.4</v>
      </c>
      <c r="H18">
        <v>-0.11</v>
      </c>
      <c r="I18">
        <v>17.100000000000001</v>
      </c>
      <c r="J18">
        <v>0.49</v>
      </c>
      <c r="K18">
        <v>10.199999999999999</v>
      </c>
      <c r="L18">
        <v>0.78</v>
      </c>
      <c r="M18">
        <v>7</v>
      </c>
      <c r="O18">
        <v>177746</v>
      </c>
      <c r="P18">
        <v>7251</v>
      </c>
    </row>
    <row r="19" spans="1:16">
      <c r="A19" t="s">
        <v>27</v>
      </c>
      <c r="B19">
        <v>227.6</v>
      </c>
      <c r="C19">
        <v>5.3</v>
      </c>
      <c r="D19">
        <v>-0.34</v>
      </c>
      <c r="E19">
        <v>14.9</v>
      </c>
      <c r="F19">
        <v>-0.41</v>
      </c>
      <c r="G19">
        <v>23</v>
      </c>
      <c r="H19">
        <v>0.61</v>
      </c>
      <c r="I19">
        <v>12.4</v>
      </c>
      <c r="J19">
        <v>0.53</v>
      </c>
      <c r="K19">
        <v>11.6</v>
      </c>
      <c r="L19">
        <v>0.79</v>
      </c>
      <c r="M19">
        <v>7.9</v>
      </c>
      <c r="O19">
        <v>227603</v>
      </c>
      <c r="P19">
        <v>5331</v>
      </c>
    </row>
    <row r="20" spans="1:16">
      <c r="A20" t="s">
        <v>28</v>
      </c>
      <c r="B20">
        <v>256.5</v>
      </c>
      <c r="C20">
        <v>10.7</v>
      </c>
      <c r="D20">
        <v>0.48</v>
      </c>
      <c r="E20">
        <v>21.8</v>
      </c>
      <c r="F20">
        <v>-0.13700000000000001</v>
      </c>
      <c r="G20">
        <v>43.9</v>
      </c>
      <c r="H20">
        <v>0.5</v>
      </c>
      <c r="I20">
        <v>17.600000000000001</v>
      </c>
      <c r="J20">
        <v>0.33</v>
      </c>
      <c r="K20">
        <v>20.8</v>
      </c>
      <c r="L20">
        <v>0.96</v>
      </c>
      <c r="M20">
        <v>5.2</v>
      </c>
      <c r="O20">
        <v>256505</v>
      </c>
      <c r="P20">
        <v>10694</v>
      </c>
    </row>
    <row r="21" spans="1:16">
      <c r="A21" t="s">
        <v>29</v>
      </c>
      <c r="B21">
        <v>55.2</v>
      </c>
      <c r="C21">
        <v>2</v>
      </c>
      <c r="D21">
        <v>0.25</v>
      </c>
      <c r="E21">
        <v>13.5</v>
      </c>
      <c r="F21">
        <v>-0.6</v>
      </c>
      <c r="G21">
        <v>26.6</v>
      </c>
      <c r="H21">
        <v>0.27</v>
      </c>
      <c r="I21">
        <v>14.9</v>
      </c>
      <c r="J21">
        <v>0.45</v>
      </c>
      <c r="K21">
        <v>12.2</v>
      </c>
      <c r="L21">
        <v>0.82</v>
      </c>
      <c r="M21">
        <v>7.1</v>
      </c>
      <c r="P21">
        <v>2214</v>
      </c>
    </row>
  </sheetData>
  <phoneticPr fontId="18" type="noConversion"/>
  <pageMargins left="0.75" right="0.75" top="1" bottom="1" header="0.5" footer="0.5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1"/>
  <sheetViews>
    <sheetView workbookViewId="0">
      <selection activeCell="L3" sqref="A1:M21"/>
    </sheetView>
  </sheetViews>
  <sheetFormatPr baseColWidth="10" defaultRowHeight="16"/>
  <sheetData>
    <row r="1" spans="1:16">
      <c r="A1" s="3" t="s">
        <v>0</v>
      </c>
      <c r="B1" s="3"/>
      <c r="C1" s="3"/>
      <c r="D1" s="3" t="s">
        <v>1</v>
      </c>
      <c r="E1" s="3"/>
      <c r="F1" s="3" t="s">
        <v>2</v>
      </c>
      <c r="G1" s="3"/>
      <c r="H1" s="3" t="s">
        <v>3</v>
      </c>
      <c r="I1" s="3"/>
      <c r="J1" s="3" t="s">
        <v>4</v>
      </c>
      <c r="K1" s="3"/>
      <c r="L1" s="3" t="s">
        <v>5</v>
      </c>
      <c r="M1" s="3"/>
    </row>
    <row r="2" spans="1:16">
      <c r="A2" s="3" t="s">
        <v>6</v>
      </c>
      <c r="B2" s="3" t="s">
        <v>7</v>
      </c>
      <c r="C2" s="3" t="s">
        <v>8</v>
      </c>
      <c r="D2" s="3" t="s">
        <v>9</v>
      </c>
      <c r="E2" s="3" t="s">
        <v>10</v>
      </c>
      <c r="F2" s="3" t="s">
        <v>9</v>
      </c>
      <c r="G2" s="3" t="s">
        <v>10</v>
      </c>
      <c r="H2" s="3" t="s">
        <v>9</v>
      </c>
      <c r="I2" s="3" t="s">
        <v>10</v>
      </c>
      <c r="J2" s="3" t="s">
        <v>9</v>
      </c>
      <c r="K2" s="3" t="s">
        <v>10</v>
      </c>
      <c r="L2" s="3" t="s">
        <v>9</v>
      </c>
      <c r="M2" s="3" t="s">
        <v>10</v>
      </c>
    </row>
    <row r="3" spans="1:16">
      <c r="A3" s="3" t="s">
        <v>11</v>
      </c>
      <c r="B3" s="3">
        <v>1.8</v>
      </c>
      <c r="C3" s="13">
        <v>0.4</v>
      </c>
      <c r="D3" s="3">
        <v>0.15</v>
      </c>
      <c r="E3" s="3">
        <v>13.8</v>
      </c>
      <c r="F3" s="3">
        <v>-0.11</v>
      </c>
      <c r="G3" s="3">
        <v>19.8</v>
      </c>
      <c r="H3" s="3">
        <v>0.16</v>
      </c>
      <c r="I3" s="3">
        <v>14.5</v>
      </c>
      <c r="J3" s="3">
        <v>-0.15</v>
      </c>
      <c r="K3" s="3">
        <v>13.6</v>
      </c>
      <c r="L3" s="14">
        <v>0.84499999999999997</v>
      </c>
      <c r="M3" s="5">
        <v>7.6</v>
      </c>
      <c r="O3">
        <v>1793</v>
      </c>
      <c r="P3">
        <v>375</v>
      </c>
    </row>
    <row r="4" spans="1:16">
      <c r="A4" s="3" t="s">
        <v>12</v>
      </c>
      <c r="B4" s="3">
        <v>3.6</v>
      </c>
      <c r="C4" s="3">
        <v>0.2</v>
      </c>
      <c r="D4" s="3">
        <v>0.66</v>
      </c>
      <c r="E4" s="3">
        <v>10.4</v>
      </c>
      <c r="F4" s="3">
        <v>-0.41</v>
      </c>
      <c r="G4" s="3">
        <v>24.9</v>
      </c>
      <c r="H4" s="3">
        <v>0.75</v>
      </c>
      <c r="I4" s="3">
        <v>10.199999999999999</v>
      </c>
      <c r="J4" s="3">
        <v>0.55000000000000004</v>
      </c>
      <c r="K4" s="3">
        <v>12.2</v>
      </c>
      <c r="L4" s="14">
        <v>0.871</v>
      </c>
      <c r="M4" s="5">
        <v>7.2</v>
      </c>
      <c r="O4">
        <v>3555</v>
      </c>
      <c r="P4">
        <v>162</v>
      </c>
    </row>
    <row r="5" spans="1:16">
      <c r="A5" s="3" t="s">
        <v>13</v>
      </c>
      <c r="B5" s="3">
        <v>3.7</v>
      </c>
      <c r="C5" s="3">
        <v>0.2</v>
      </c>
      <c r="D5" s="3">
        <v>0.54</v>
      </c>
      <c r="E5" s="3">
        <v>15.4</v>
      </c>
      <c r="F5" s="3">
        <v>-0.06</v>
      </c>
      <c r="G5" s="3">
        <v>30.2</v>
      </c>
      <c r="H5" s="3">
        <v>0.18</v>
      </c>
      <c r="I5" s="3">
        <v>20.6</v>
      </c>
      <c r="J5" s="3">
        <v>0.71</v>
      </c>
      <c r="K5" s="3">
        <v>11.2</v>
      </c>
      <c r="L5" s="14">
        <v>0.82499999999999996</v>
      </c>
      <c r="M5" s="5">
        <v>9.8000000000000007</v>
      </c>
      <c r="O5">
        <v>3713</v>
      </c>
      <c r="P5">
        <v>204</v>
      </c>
    </row>
    <row r="6" spans="1:16">
      <c r="A6" s="3" t="s">
        <v>14</v>
      </c>
      <c r="B6" s="3">
        <v>7.1</v>
      </c>
      <c r="C6" s="3">
        <v>0.4</v>
      </c>
      <c r="D6" s="3">
        <v>0.61</v>
      </c>
      <c r="E6" s="3">
        <v>13.5</v>
      </c>
      <c r="F6" s="3">
        <v>0</v>
      </c>
      <c r="G6" s="3">
        <v>29</v>
      </c>
      <c r="H6" s="3">
        <v>-0.04</v>
      </c>
      <c r="I6" s="3">
        <v>22.3</v>
      </c>
      <c r="J6" s="3">
        <v>0.38</v>
      </c>
      <c r="K6" s="3">
        <v>16.2</v>
      </c>
      <c r="L6" s="14">
        <v>0.81799999999999995</v>
      </c>
      <c r="M6" s="5">
        <v>9.1999999999999993</v>
      </c>
      <c r="O6">
        <v>7102</v>
      </c>
      <c r="P6">
        <v>365</v>
      </c>
    </row>
    <row r="7" spans="1:16">
      <c r="A7" s="3" t="s">
        <v>15</v>
      </c>
      <c r="B7" s="3">
        <v>9</v>
      </c>
      <c r="C7" s="3">
        <v>0.4</v>
      </c>
      <c r="D7" s="3">
        <v>0.4</v>
      </c>
      <c r="E7" s="3">
        <v>10.9</v>
      </c>
      <c r="F7" s="3">
        <v>-0.7</v>
      </c>
      <c r="G7" s="3">
        <v>23.1</v>
      </c>
      <c r="H7" s="3">
        <v>0.31</v>
      </c>
      <c r="I7" s="3">
        <v>14</v>
      </c>
      <c r="J7" s="3">
        <v>0.79</v>
      </c>
      <c r="K7" s="3">
        <v>6.8</v>
      </c>
      <c r="L7" s="14">
        <v>0.82799999999999996</v>
      </c>
      <c r="M7" s="5">
        <v>6.4</v>
      </c>
      <c r="O7">
        <v>9013</v>
      </c>
      <c r="P7">
        <v>416</v>
      </c>
    </row>
    <row r="8" spans="1:16">
      <c r="A8" s="3" t="s">
        <v>16</v>
      </c>
      <c r="B8" s="3">
        <v>10.1</v>
      </c>
      <c r="C8" s="3">
        <v>0.6</v>
      </c>
      <c r="D8" s="3">
        <v>0.6</v>
      </c>
      <c r="E8" s="3">
        <v>9.3000000000000007</v>
      </c>
      <c r="F8" s="3">
        <v>-0.26</v>
      </c>
      <c r="G8" s="3">
        <v>21.4</v>
      </c>
      <c r="H8" s="3">
        <v>0.1</v>
      </c>
      <c r="I8" s="3">
        <v>16.8</v>
      </c>
      <c r="J8" s="3">
        <v>0.76</v>
      </c>
      <c r="K8" s="3">
        <v>7.5</v>
      </c>
      <c r="L8" s="14">
        <v>0.92300000000000004</v>
      </c>
      <c r="M8" s="5">
        <v>4.5999999999999996</v>
      </c>
      <c r="O8">
        <v>10081</v>
      </c>
      <c r="P8">
        <v>641</v>
      </c>
    </row>
    <row r="9" spans="1:16">
      <c r="A9" s="3" t="s">
        <v>17</v>
      </c>
      <c r="B9" s="3">
        <v>11.3</v>
      </c>
      <c r="C9" s="3">
        <v>0.6</v>
      </c>
      <c r="D9" s="3">
        <v>0.26</v>
      </c>
      <c r="E9" s="3">
        <v>8.8000000000000007</v>
      </c>
      <c r="F9" s="3">
        <v>-0.74</v>
      </c>
      <c r="G9" s="3">
        <v>19</v>
      </c>
      <c r="H9" s="3">
        <v>-0.31</v>
      </c>
      <c r="I9" s="3">
        <v>14</v>
      </c>
      <c r="J9" s="3">
        <v>0.65</v>
      </c>
      <c r="K9" s="3">
        <v>6.5</v>
      </c>
      <c r="L9" s="14">
        <v>0.81200000000000006</v>
      </c>
      <c r="M9" s="5">
        <v>6.1</v>
      </c>
      <c r="O9">
        <v>11294</v>
      </c>
      <c r="P9">
        <v>560</v>
      </c>
    </row>
    <row r="10" spans="1:16">
      <c r="A10" s="3" t="s">
        <v>18</v>
      </c>
      <c r="B10" s="3">
        <v>15.4</v>
      </c>
      <c r="C10" s="3">
        <v>0.7</v>
      </c>
      <c r="D10" s="3">
        <v>0.12</v>
      </c>
      <c r="E10" s="3">
        <v>12.6</v>
      </c>
      <c r="F10" s="3">
        <v>-1.18</v>
      </c>
      <c r="G10" s="3">
        <v>28.6</v>
      </c>
      <c r="H10" s="3">
        <v>0.47</v>
      </c>
      <c r="I10" s="3">
        <v>12</v>
      </c>
      <c r="J10" s="3">
        <v>0.57999999999999996</v>
      </c>
      <c r="K10" s="3">
        <v>10.9</v>
      </c>
      <c r="L10" s="14">
        <v>0.78100000000000003</v>
      </c>
      <c r="M10" s="5">
        <v>7.9</v>
      </c>
      <c r="O10">
        <v>15383</v>
      </c>
      <c r="P10">
        <v>670</v>
      </c>
    </row>
    <row r="11" spans="1:16">
      <c r="A11" s="3" t="s">
        <v>19</v>
      </c>
      <c r="B11" s="3">
        <v>28.6</v>
      </c>
      <c r="C11" s="3">
        <v>1.6</v>
      </c>
      <c r="D11" s="3">
        <v>0.67</v>
      </c>
      <c r="E11" s="3">
        <v>5.8</v>
      </c>
      <c r="F11" s="3">
        <v>-2.15</v>
      </c>
      <c r="G11" s="3">
        <v>22.5</v>
      </c>
      <c r="H11" s="3">
        <v>0.1</v>
      </c>
      <c r="I11" s="3">
        <v>10.7</v>
      </c>
      <c r="J11" s="3">
        <v>0.69</v>
      </c>
      <c r="K11" s="3">
        <v>5.6</v>
      </c>
      <c r="L11" s="14">
        <v>0.85</v>
      </c>
      <c r="M11" s="5">
        <v>4.5</v>
      </c>
      <c r="O11">
        <v>28566</v>
      </c>
      <c r="P11">
        <v>1553</v>
      </c>
    </row>
    <row r="12" spans="1:16">
      <c r="A12" s="3" t="s">
        <v>20</v>
      </c>
      <c r="B12" s="3">
        <v>32.5</v>
      </c>
      <c r="C12" s="3">
        <v>2</v>
      </c>
      <c r="D12" s="3">
        <v>-0.02</v>
      </c>
      <c r="E12" s="3">
        <v>10.7</v>
      </c>
      <c r="F12" s="3">
        <v>-1.47</v>
      </c>
      <c r="G12" s="3">
        <v>28.9</v>
      </c>
      <c r="H12" s="3">
        <v>0.56999999999999995</v>
      </c>
      <c r="I12" s="3">
        <v>11.1</v>
      </c>
      <c r="J12" s="3">
        <v>0.69</v>
      </c>
      <c r="K12" s="3">
        <v>8.6999999999999993</v>
      </c>
      <c r="L12" s="14">
        <v>0.91300000000000003</v>
      </c>
      <c r="M12" s="5">
        <v>6.9</v>
      </c>
      <c r="O12">
        <v>32526</v>
      </c>
      <c r="P12">
        <v>1953</v>
      </c>
    </row>
    <row r="13" spans="1:16">
      <c r="A13" s="3" t="s">
        <v>21</v>
      </c>
      <c r="B13" s="3">
        <v>32.5</v>
      </c>
      <c r="C13" s="3">
        <v>0.7</v>
      </c>
      <c r="D13" s="3">
        <v>0.06</v>
      </c>
      <c r="E13" s="3">
        <v>21.3</v>
      </c>
      <c r="F13" s="3">
        <v>-0.41</v>
      </c>
      <c r="G13" s="3">
        <v>31.7</v>
      </c>
      <c r="H13" s="3">
        <v>0.69</v>
      </c>
      <c r="I13" s="3">
        <v>12.2</v>
      </c>
      <c r="J13" s="3">
        <v>0.63</v>
      </c>
      <c r="K13" s="3">
        <v>12.3</v>
      </c>
      <c r="L13" s="14">
        <v>0.84199999999999997</v>
      </c>
      <c r="M13" s="5">
        <v>6.9</v>
      </c>
      <c r="O13">
        <v>32526</v>
      </c>
      <c r="P13">
        <v>701</v>
      </c>
    </row>
    <row r="14" spans="1:16">
      <c r="A14" s="3" t="s">
        <v>22</v>
      </c>
      <c r="B14" s="3">
        <v>34.9</v>
      </c>
      <c r="C14" s="3">
        <v>1.8</v>
      </c>
      <c r="D14" s="3">
        <v>-0.7</v>
      </c>
      <c r="E14" s="3">
        <v>23</v>
      </c>
      <c r="F14" s="3">
        <v>-1.1200000000000001</v>
      </c>
      <c r="G14" s="3">
        <v>34.4</v>
      </c>
      <c r="H14" s="3">
        <v>0.56999999999999995</v>
      </c>
      <c r="I14" s="3">
        <v>17.3</v>
      </c>
      <c r="J14" s="3">
        <v>0.42</v>
      </c>
      <c r="K14" s="3">
        <v>17</v>
      </c>
      <c r="L14" s="14">
        <v>0.77500000000000002</v>
      </c>
      <c r="M14" s="5">
        <v>10.8</v>
      </c>
      <c r="O14">
        <v>34868</v>
      </c>
      <c r="P14">
        <v>1779</v>
      </c>
    </row>
    <row r="15" spans="1:16">
      <c r="A15" s="3" t="s">
        <v>23</v>
      </c>
      <c r="B15" s="3">
        <v>40.700000000000003</v>
      </c>
      <c r="C15" s="3">
        <v>2.8</v>
      </c>
      <c r="D15" s="3">
        <v>0.54</v>
      </c>
      <c r="E15" s="3">
        <v>16.100000000000001</v>
      </c>
      <c r="F15" s="3">
        <v>-0.04</v>
      </c>
      <c r="G15" s="3">
        <v>32.799999999999997</v>
      </c>
      <c r="H15" s="3">
        <v>0.28999999999999998</v>
      </c>
      <c r="I15" s="3">
        <v>16.2</v>
      </c>
      <c r="J15" s="3">
        <v>-0.66</v>
      </c>
      <c r="K15" s="3">
        <v>26.6</v>
      </c>
      <c r="L15" s="14">
        <v>0.65500000000000003</v>
      </c>
      <c r="M15" s="5">
        <v>12.9</v>
      </c>
      <c r="O15">
        <v>40716</v>
      </c>
      <c r="P15">
        <v>2820</v>
      </c>
    </row>
    <row r="16" spans="1:16">
      <c r="A16" s="3" t="s">
        <v>24</v>
      </c>
      <c r="B16" s="3">
        <v>41.6</v>
      </c>
      <c r="C16" s="3">
        <v>2.4</v>
      </c>
      <c r="D16" s="3">
        <v>0.51</v>
      </c>
      <c r="E16" s="3">
        <v>11.9</v>
      </c>
      <c r="F16" s="3">
        <v>-0.01</v>
      </c>
      <c r="G16" s="3">
        <v>22.1</v>
      </c>
      <c r="H16" s="3">
        <v>-0.1</v>
      </c>
      <c r="I16" s="3">
        <v>18.7</v>
      </c>
      <c r="J16" s="3">
        <v>7.0000000000000007E-2</v>
      </c>
      <c r="K16" s="3">
        <v>14.7</v>
      </c>
      <c r="L16" s="14">
        <v>0.75600000000000001</v>
      </c>
      <c r="M16" s="5">
        <v>9.1</v>
      </c>
      <c r="O16">
        <v>41599</v>
      </c>
      <c r="P16">
        <v>2350</v>
      </c>
    </row>
    <row r="17" spans="1:16">
      <c r="A17" s="3" t="s">
        <v>25</v>
      </c>
      <c r="B17" s="3">
        <v>59.8</v>
      </c>
      <c r="C17" s="3">
        <v>2</v>
      </c>
      <c r="D17" s="3">
        <v>0.16</v>
      </c>
      <c r="E17" s="3">
        <v>9.6</v>
      </c>
      <c r="F17" s="3">
        <v>-1.49</v>
      </c>
      <c r="G17" s="3">
        <v>21.3</v>
      </c>
      <c r="H17" s="3">
        <v>0.14000000000000001</v>
      </c>
      <c r="I17" s="3">
        <v>11</v>
      </c>
      <c r="J17" s="3">
        <v>0.7</v>
      </c>
      <c r="K17" s="3">
        <v>6.3</v>
      </c>
      <c r="L17" s="14">
        <v>0.84399999999999997</v>
      </c>
      <c r="M17" s="5">
        <v>5</v>
      </c>
      <c r="O17">
        <v>59757</v>
      </c>
      <c r="P17">
        <v>2032</v>
      </c>
    </row>
    <row r="18" spans="1:16">
      <c r="A18" s="3" t="s">
        <v>26</v>
      </c>
      <c r="B18" s="3">
        <v>177.7</v>
      </c>
      <c r="C18" s="3">
        <v>7.3</v>
      </c>
      <c r="D18" s="3">
        <v>-0.15</v>
      </c>
      <c r="E18" s="3">
        <v>13.6</v>
      </c>
      <c r="F18" s="3">
        <v>-0.06</v>
      </c>
      <c r="G18" s="3">
        <v>21.4</v>
      </c>
      <c r="H18" s="3">
        <v>-0.11</v>
      </c>
      <c r="I18" s="3">
        <v>17.100000000000001</v>
      </c>
      <c r="J18" s="3">
        <v>0.49</v>
      </c>
      <c r="K18" s="3">
        <v>10.199999999999999</v>
      </c>
      <c r="L18" s="14">
        <v>0.83799999999999997</v>
      </c>
      <c r="M18" s="5">
        <v>8.1</v>
      </c>
      <c r="O18">
        <v>177746</v>
      </c>
      <c r="P18">
        <v>7251</v>
      </c>
    </row>
    <row r="19" spans="1:16">
      <c r="A19" s="3" t="s">
        <v>27</v>
      </c>
      <c r="B19" s="3">
        <v>227.6</v>
      </c>
      <c r="C19" s="3">
        <v>5.3</v>
      </c>
      <c r="D19" s="3">
        <v>-0.34</v>
      </c>
      <c r="E19" s="3">
        <v>14.9</v>
      </c>
      <c r="F19" s="3">
        <v>-0.41</v>
      </c>
      <c r="G19" s="3">
        <v>23</v>
      </c>
      <c r="H19" s="3">
        <v>0.61</v>
      </c>
      <c r="I19" s="3">
        <v>12.4</v>
      </c>
      <c r="J19" s="3">
        <v>0.53</v>
      </c>
      <c r="K19" s="3">
        <v>11.6</v>
      </c>
      <c r="L19" s="14">
        <v>0.73299999999999998</v>
      </c>
      <c r="M19" s="5">
        <v>9.3000000000000007</v>
      </c>
      <c r="O19">
        <v>227603</v>
      </c>
      <c r="P19">
        <v>5331</v>
      </c>
    </row>
    <row r="20" spans="1:16">
      <c r="A20" s="3" t="s">
        <v>28</v>
      </c>
      <c r="B20" s="3">
        <v>256.5</v>
      </c>
      <c r="C20" s="3">
        <v>10.7</v>
      </c>
      <c r="D20" s="3">
        <v>0.48</v>
      </c>
      <c r="E20" s="3">
        <v>21.8</v>
      </c>
      <c r="F20" s="3">
        <v>-0.13700000000000001</v>
      </c>
      <c r="G20" s="3">
        <v>43.9</v>
      </c>
      <c r="H20" s="3">
        <v>0.5</v>
      </c>
      <c r="I20" s="3">
        <v>17.600000000000001</v>
      </c>
      <c r="J20" s="3">
        <v>0.33</v>
      </c>
      <c r="K20" s="3">
        <v>20.8</v>
      </c>
      <c r="L20" s="14">
        <v>0.90700000000000003</v>
      </c>
      <c r="M20" s="5">
        <v>10</v>
      </c>
      <c r="O20">
        <v>256505</v>
      </c>
      <c r="P20">
        <v>10694</v>
      </c>
    </row>
    <row r="21" spans="1:16">
      <c r="A21" s="3" t="s">
        <v>29</v>
      </c>
      <c r="B21" s="3">
        <v>55.2</v>
      </c>
      <c r="C21" s="3">
        <v>2</v>
      </c>
      <c r="D21" s="3">
        <v>0.25</v>
      </c>
      <c r="E21" s="3">
        <v>13.5</v>
      </c>
      <c r="F21" s="3">
        <v>-0.6</v>
      </c>
      <c r="G21" s="3">
        <v>26.6</v>
      </c>
      <c r="H21" s="3">
        <v>0.27</v>
      </c>
      <c r="I21" s="3">
        <v>14.9</v>
      </c>
      <c r="J21" s="3">
        <v>0.45</v>
      </c>
      <c r="K21" s="3">
        <v>12.2</v>
      </c>
      <c r="L21" s="5">
        <v>0.82</v>
      </c>
      <c r="M21" s="5">
        <v>7.9</v>
      </c>
      <c r="P21">
        <v>2214</v>
      </c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C1" sqref="C1"/>
    </sheetView>
  </sheetViews>
  <sheetFormatPr baseColWidth="10" defaultRowHeight="16"/>
  <sheetData>
    <row r="1" spans="1:2">
      <c r="A1" t="s">
        <v>44</v>
      </c>
      <c r="B1" t="s">
        <v>45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workbookViewId="0">
      <selection activeCell="B3" sqref="B3"/>
    </sheetView>
  </sheetViews>
  <sheetFormatPr baseColWidth="10" defaultRowHeight="16"/>
  <cols>
    <col min="3" max="3" width="14.83203125" customWidth="1"/>
    <col min="5" max="5" width="11.83203125" customWidth="1"/>
    <col min="7" max="7" width="11.33203125" customWidth="1"/>
  </cols>
  <sheetData>
    <row r="1" spans="1:10">
      <c r="A1" s="7" t="s">
        <v>46</v>
      </c>
      <c r="B1" s="7" t="s">
        <v>47</v>
      </c>
      <c r="C1" s="7" t="s">
        <v>48</v>
      </c>
      <c r="D1" s="7"/>
      <c r="E1" s="7" t="s">
        <v>49</v>
      </c>
      <c r="F1" s="7"/>
      <c r="G1" s="7" t="s">
        <v>50</v>
      </c>
      <c r="H1" s="7"/>
      <c r="I1" s="7" t="s">
        <v>51</v>
      </c>
      <c r="J1" s="7"/>
    </row>
    <row r="2" spans="1:10">
      <c r="A2" s="7"/>
      <c r="B2" s="7"/>
      <c r="C2" s="3" t="s">
        <v>52</v>
      </c>
      <c r="D2" s="3" t="s">
        <v>53</v>
      </c>
      <c r="E2" s="3" t="s">
        <v>52</v>
      </c>
      <c r="F2" s="3" t="s">
        <v>53</v>
      </c>
      <c r="G2" s="3" t="s">
        <v>52</v>
      </c>
      <c r="H2" s="3" t="s">
        <v>53</v>
      </c>
      <c r="I2" s="3" t="s">
        <v>52</v>
      </c>
      <c r="J2" s="3" t="s">
        <v>53</v>
      </c>
    </row>
    <row r="3" spans="1:10">
      <c r="A3" s="6" t="s">
        <v>12</v>
      </c>
      <c r="B3" s="6">
        <v>162</v>
      </c>
      <c r="C3" s="6">
        <v>0.75700000000000001</v>
      </c>
      <c r="D3" s="6">
        <v>9.8000000000000007</v>
      </c>
      <c r="E3" s="6">
        <v>0.85099999999999998</v>
      </c>
      <c r="F3" s="6">
        <v>7.7</v>
      </c>
      <c r="G3" s="6">
        <v>0.83099999999999996</v>
      </c>
      <c r="H3" s="6">
        <v>7.8</v>
      </c>
      <c r="I3" s="6">
        <v>0.84299999999999997</v>
      </c>
      <c r="J3" s="6">
        <v>7.1</v>
      </c>
    </row>
    <row r="4" spans="1:10">
      <c r="A4" s="6" t="s">
        <v>17</v>
      </c>
      <c r="B4" s="6">
        <v>560</v>
      </c>
      <c r="C4" s="6">
        <v>0.69399999999999995</v>
      </c>
      <c r="D4" s="6">
        <v>7.2</v>
      </c>
      <c r="E4" s="6">
        <v>0.72499999999999998</v>
      </c>
      <c r="F4" s="6">
        <v>6.2</v>
      </c>
      <c r="G4" s="6">
        <v>0.54300000000000004</v>
      </c>
      <c r="H4" s="6">
        <v>7.3</v>
      </c>
      <c r="I4" s="6">
        <v>0.78200000000000003</v>
      </c>
      <c r="J4" s="6">
        <v>5.4</v>
      </c>
    </row>
    <row r="5" spans="1:10">
      <c r="A5" s="6" t="s">
        <v>13</v>
      </c>
      <c r="B5" s="6">
        <v>204</v>
      </c>
      <c r="C5" s="6">
        <v>0.78200000000000003</v>
      </c>
      <c r="D5" s="6">
        <v>11.9</v>
      </c>
      <c r="E5" s="6">
        <v>0.76600000000000001</v>
      </c>
      <c r="F5" s="6">
        <v>10.8</v>
      </c>
      <c r="G5" s="6">
        <v>0.77500000000000002</v>
      </c>
      <c r="H5" s="6">
        <v>11.5</v>
      </c>
      <c r="I5" s="6">
        <v>0.77900000000000003</v>
      </c>
      <c r="J5" s="6">
        <v>10.6</v>
      </c>
    </row>
    <row r="6" spans="1:10">
      <c r="A6" s="6" t="s">
        <v>22</v>
      </c>
      <c r="B6" s="6">
        <v>1779</v>
      </c>
      <c r="C6" s="6">
        <v>0.29399999999999998</v>
      </c>
      <c r="D6" s="6">
        <v>18</v>
      </c>
      <c r="E6" s="6">
        <v>0.73</v>
      </c>
      <c r="F6" s="6">
        <v>12.3</v>
      </c>
      <c r="G6" s="6">
        <v>0.748</v>
      </c>
      <c r="H6" s="6">
        <v>11.4</v>
      </c>
      <c r="I6" s="6">
        <v>0.61199999999999999</v>
      </c>
      <c r="J6" s="6">
        <v>15.4</v>
      </c>
    </row>
    <row r="7" spans="1:10">
      <c r="A7" s="6" t="s">
        <v>11</v>
      </c>
      <c r="B7" s="6">
        <v>375</v>
      </c>
      <c r="C7" s="6">
        <v>0.76400000000000001</v>
      </c>
      <c r="D7" s="6">
        <v>8.1</v>
      </c>
      <c r="E7" s="6">
        <v>0.54</v>
      </c>
      <c r="F7" s="6">
        <v>10.4</v>
      </c>
      <c r="G7" s="6">
        <v>0.76600000000000001</v>
      </c>
      <c r="H7" s="6">
        <v>8.1</v>
      </c>
      <c r="I7" s="6">
        <v>0.90900000000000003</v>
      </c>
      <c r="J7" s="6">
        <v>4.5999999999999996</v>
      </c>
    </row>
    <row r="8" spans="1:10">
      <c r="A8" s="6" t="s">
        <v>16</v>
      </c>
      <c r="B8" s="6">
        <v>641</v>
      </c>
      <c r="C8" s="6">
        <v>0.875</v>
      </c>
      <c r="D8" s="6">
        <v>6.2</v>
      </c>
      <c r="E8" s="6">
        <v>0.81799999999999995</v>
      </c>
      <c r="F8" s="6">
        <v>7.2</v>
      </c>
      <c r="G8" s="6">
        <v>0.877</v>
      </c>
      <c r="H8" s="6">
        <v>5.0999999999999996</v>
      </c>
      <c r="I8" s="6">
        <v>0.92600000000000005</v>
      </c>
      <c r="J8" s="6">
        <v>4.5</v>
      </c>
    </row>
    <row r="9" spans="1:10">
      <c r="A9" s="6" t="s">
        <v>23</v>
      </c>
      <c r="B9" s="6">
        <v>2820</v>
      </c>
      <c r="C9" s="6">
        <v>0.55100000000000005</v>
      </c>
      <c r="D9" s="6">
        <v>13.9</v>
      </c>
      <c r="E9" s="6">
        <v>0.49399999999999999</v>
      </c>
      <c r="F9" s="6">
        <v>14.7</v>
      </c>
      <c r="G9" s="6">
        <v>0.47699999999999998</v>
      </c>
      <c r="H9" s="6">
        <v>16.899999999999999</v>
      </c>
      <c r="I9" s="6">
        <v>0.80400000000000005</v>
      </c>
      <c r="J9" s="6">
        <v>10.9</v>
      </c>
    </row>
    <row r="10" spans="1:10">
      <c r="A10" s="6" t="s">
        <v>25</v>
      </c>
      <c r="B10" s="6">
        <v>2032</v>
      </c>
      <c r="C10" s="6">
        <v>0.35699999999999998</v>
      </c>
      <c r="D10" s="6">
        <v>8.1</v>
      </c>
      <c r="E10" s="6">
        <v>0.78500000000000003</v>
      </c>
      <c r="F10" s="6">
        <v>5.6</v>
      </c>
      <c r="G10" s="6">
        <v>0.81</v>
      </c>
      <c r="H10" s="6">
        <v>4.9000000000000004</v>
      </c>
      <c r="I10" s="6">
        <v>0.83899999999999997</v>
      </c>
      <c r="J10" s="6">
        <v>4.4000000000000004</v>
      </c>
    </row>
    <row r="11" spans="1:10">
      <c r="A11" s="6" t="s">
        <v>19</v>
      </c>
      <c r="B11" s="6">
        <v>1553</v>
      </c>
      <c r="C11" s="6">
        <v>0.72799999999999998</v>
      </c>
      <c r="D11" s="6">
        <v>5.7</v>
      </c>
      <c r="E11" s="6">
        <v>0.77400000000000002</v>
      </c>
      <c r="F11" s="6">
        <v>4.9000000000000004</v>
      </c>
      <c r="G11" s="6">
        <v>0.79100000000000004</v>
      </c>
      <c r="H11" s="6">
        <v>4.8</v>
      </c>
      <c r="I11" s="6">
        <v>0.83199999999999996</v>
      </c>
      <c r="J11" s="6">
        <v>3.8</v>
      </c>
    </row>
    <row r="12" spans="1:10">
      <c r="A12" s="6" t="s">
        <v>14</v>
      </c>
      <c r="B12" s="6">
        <v>365</v>
      </c>
      <c r="C12" s="6">
        <v>0.74399999999999999</v>
      </c>
      <c r="D12" s="6">
        <v>10.4</v>
      </c>
      <c r="E12" s="6">
        <v>0.75900000000000001</v>
      </c>
      <c r="F12" s="6">
        <v>9</v>
      </c>
      <c r="G12" s="6">
        <v>0.68</v>
      </c>
      <c r="H12" s="6">
        <v>11.3</v>
      </c>
      <c r="I12" s="6">
        <v>0.73799999999999999</v>
      </c>
      <c r="J12" s="6">
        <v>10.8</v>
      </c>
    </row>
    <row r="13" spans="1:10">
      <c r="A13" s="6" t="s">
        <v>26</v>
      </c>
      <c r="B13" s="6">
        <v>7251</v>
      </c>
      <c r="C13" s="6">
        <v>0.81499999999999995</v>
      </c>
      <c r="D13" s="6">
        <v>7.6</v>
      </c>
      <c r="E13" s="6">
        <v>0.71899999999999997</v>
      </c>
      <c r="F13" s="6">
        <v>8.5</v>
      </c>
      <c r="G13" s="6">
        <v>0.71699999999999997</v>
      </c>
      <c r="H13" s="6">
        <v>8.6999999999999993</v>
      </c>
      <c r="I13" s="6">
        <v>0.78</v>
      </c>
      <c r="J13" s="6">
        <v>7</v>
      </c>
    </row>
    <row r="14" spans="1:10">
      <c r="A14" s="6" t="s">
        <v>27</v>
      </c>
      <c r="B14" s="6">
        <v>5331</v>
      </c>
      <c r="C14" s="6">
        <v>0.38700000000000001</v>
      </c>
      <c r="D14" s="6">
        <v>12.4</v>
      </c>
      <c r="E14" s="6">
        <v>0.754</v>
      </c>
      <c r="F14" s="6">
        <v>8.6</v>
      </c>
      <c r="G14" s="6">
        <v>0.60099999999999998</v>
      </c>
      <c r="H14" s="6">
        <v>9.9</v>
      </c>
      <c r="I14" s="6">
        <v>0.79</v>
      </c>
      <c r="J14" s="6">
        <v>7.9</v>
      </c>
    </row>
    <row r="15" spans="1:10">
      <c r="A15" s="6" t="s">
        <v>28</v>
      </c>
      <c r="B15" s="6">
        <v>10694</v>
      </c>
      <c r="C15" s="6">
        <v>0.83199999999999996</v>
      </c>
      <c r="D15" s="6">
        <v>11.9</v>
      </c>
      <c r="E15" s="6">
        <v>0.77300000000000002</v>
      </c>
      <c r="F15" s="6">
        <v>12.3</v>
      </c>
      <c r="G15" s="6">
        <v>0.89900000000000002</v>
      </c>
      <c r="H15" s="6">
        <v>10.9</v>
      </c>
      <c r="I15" s="6">
        <v>0.96</v>
      </c>
      <c r="J15" s="6">
        <v>5.2</v>
      </c>
    </row>
    <row r="16" spans="1:10">
      <c r="A16" s="6" t="s">
        <v>20</v>
      </c>
      <c r="B16" s="6">
        <v>1953</v>
      </c>
      <c r="C16" s="6">
        <v>0.75</v>
      </c>
      <c r="D16" s="6">
        <v>8.1</v>
      </c>
      <c r="E16" s="6">
        <v>0.85</v>
      </c>
      <c r="F16" s="6">
        <v>6.4</v>
      </c>
      <c r="G16" s="6">
        <v>0.82599999999999996</v>
      </c>
      <c r="H16" s="6">
        <v>8.4</v>
      </c>
      <c r="I16" s="6">
        <v>0.81100000000000005</v>
      </c>
      <c r="J16" s="6">
        <v>6.5</v>
      </c>
    </row>
    <row r="17" spans="1:10">
      <c r="A17" s="6" t="s">
        <v>15</v>
      </c>
      <c r="B17" s="6">
        <v>416</v>
      </c>
      <c r="C17" s="6">
        <v>0.70899999999999996</v>
      </c>
      <c r="D17" s="6">
        <v>8.4</v>
      </c>
      <c r="E17" s="6">
        <v>0.76500000000000001</v>
      </c>
      <c r="F17" s="6">
        <v>7.5</v>
      </c>
      <c r="G17" s="6">
        <v>0.61499999999999999</v>
      </c>
      <c r="H17" s="6">
        <v>8.9</v>
      </c>
      <c r="I17" s="6">
        <v>0.76400000000000001</v>
      </c>
      <c r="J17" s="6">
        <v>7.1</v>
      </c>
    </row>
    <row r="18" spans="1:10">
      <c r="A18" s="6" t="s">
        <v>21</v>
      </c>
      <c r="B18" s="6">
        <v>701</v>
      </c>
      <c r="C18" s="6">
        <v>0.85599999999999998</v>
      </c>
      <c r="D18" s="6">
        <v>8.9</v>
      </c>
      <c r="E18" s="6">
        <v>0.89400000000000002</v>
      </c>
      <c r="F18" s="6">
        <v>7.2</v>
      </c>
      <c r="G18" s="6">
        <v>0.89400000000000002</v>
      </c>
      <c r="H18" s="6">
        <v>7.1</v>
      </c>
      <c r="I18" s="6">
        <v>0.95</v>
      </c>
      <c r="J18" s="6">
        <v>4.5</v>
      </c>
    </row>
    <row r="19" spans="1:10">
      <c r="A19" s="6" t="s">
        <v>18</v>
      </c>
      <c r="B19" s="6">
        <v>670</v>
      </c>
      <c r="C19" s="6">
        <v>0.70799999999999996</v>
      </c>
      <c r="D19" s="6">
        <v>8.5</v>
      </c>
      <c r="E19" s="6">
        <v>0.79500000000000004</v>
      </c>
      <c r="F19" s="6">
        <v>7.2</v>
      </c>
      <c r="G19" s="6">
        <v>0.70199999999999996</v>
      </c>
      <c r="H19" s="6">
        <v>7.8</v>
      </c>
      <c r="I19" s="6">
        <v>0.78800000000000003</v>
      </c>
      <c r="J19" s="6">
        <v>6.4</v>
      </c>
    </row>
    <row r="20" spans="1:10">
      <c r="A20" s="6" t="s">
        <v>24</v>
      </c>
      <c r="B20" s="6">
        <v>2350</v>
      </c>
      <c r="C20" s="6">
        <v>0.621</v>
      </c>
      <c r="D20" s="6">
        <v>10.3</v>
      </c>
      <c r="E20" s="6">
        <v>0.60299999999999998</v>
      </c>
      <c r="F20" s="6">
        <v>9.4</v>
      </c>
      <c r="G20" s="6">
        <v>0.68300000000000005</v>
      </c>
      <c r="H20" s="6">
        <v>8.9</v>
      </c>
      <c r="I20" s="6">
        <v>0.79300000000000004</v>
      </c>
      <c r="J20" s="6">
        <v>8.1999999999999993</v>
      </c>
    </row>
    <row r="21" spans="1:10">
      <c r="A21" s="6" t="s">
        <v>54</v>
      </c>
      <c r="B21" s="9">
        <f>AVERAGE(B3:B20)</f>
        <v>2214.2777777777778</v>
      </c>
      <c r="C21" s="8">
        <f t="shared" ref="C21:J21" si="0">AVERAGE(C3:C20)</f>
        <v>0.67911111111111122</v>
      </c>
      <c r="D21" s="8">
        <f t="shared" si="0"/>
        <v>9.7444444444444471</v>
      </c>
      <c r="E21" s="8">
        <f t="shared" si="0"/>
        <v>0.74416666666666664</v>
      </c>
      <c r="F21" s="8">
        <f t="shared" si="0"/>
        <v>8.6611111111111097</v>
      </c>
      <c r="G21" s="8">
        <f t="shared" si="0"/>
        <v>0.73527777777777781</v>
      </c>
      <c r="H21" s="8">
        <f t="shared" si="0"/>
        <v>8.8722222222222236</v>
      </c>
      <c r="I21" s="8">
        <f t="shared" si="0"/>
        <v>0.81666666666666665</v>
      </c>
      <c r="J21" s="8">
        <f t="shared" si="0"/>
        <v>7.2388888888888898</v>
      </c>
    </row>
  </sheetData>
  <mergeCells count="6">
    <mergeCell ref="C1:D1"/>
    <mergeCell ref="E1:F1"/>
    <mergeCell ref="G1:H1"/>
    <mergeCell ref="I1:J1"/>
    <mergeCell ref="A1:A2"/>
    <mergeCell ref="B1:B2"/>
  </mergeCells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sqref="A1:C6"/>
    </sheetView>
  </sheetViews>
  <sheetFormatPr baseColWidth="10" defaultRowHeight="16"/>
  <cols>
    <col min="1" max="1" width="20" customWidth="1"/>
    <col min="2" max="2" width="50.5" customWidth="1"/>
    <col min="3" max="3" width="46.83203125" customWidth="1"/>
  </cols>
  <sheetData>
    <row r="1" spans="1:3">
      <c r="A1" s="11" t="s">
        <v>55</v>
      </c>
      <c r="B1" s="11" t="s">
        <v>56</v>
      </c>
      <c r="C1" s="11" t="s">
        <v>57</v>
      </c>
    </row>
    <row r="2" spans="1:3">
      <c r="A2" s="12" t="s">
        <v>58</v>
      </c>
      <c r="B2" s="11" t="s">
        <v>63</v>
      </c>
      <c r="C2" s="11" t="s">
        <v>62</v>
      </c>
    </row>
    <row r="3" spans="1:3">
      <c r="A3" s="12"/>
      <c r="B3" s="11" t="s">
        <v>61</v>
      </c>
      <c r="C3" s="11" t="s">
        <v>64</v>
      </c>
    </row>
    <row r="4" spans="1:3">
      <c r="A4" s="12"/>
      <c r="B4" s="11" t="s">
        <v>60</v>
      </c>
      <c r="C4" s="11"/>
    </row>
    <row r="5" spans="1:3">
      <c r="A5" s="12" t="s">
        <v>59</v>
      </c>
      <c r="B5" s="11" t="s">
        <v>67</v>
      </c>
      <c r="C5" s="11" t="s">
        <v>66</v>
      </c>
    </row>
    <row r="6" spans="1:3">
      <c r="A6" s="12"/>
      <c r="B6" s="11" t="s">
        <v>65</v>
      </c>
      <c r="C6" s="11"/>
    </row>
  </sheetData>
  <mergeCells count="2">
    <mergeCell ref="A2:A4"/>
    <mergeCell ref="A5:A6"/>
  </mergeCells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2"/>
  <sheetViews>
    <sheetView workbookViewId="0">
      <selection activeCell="B3" sqref="B3"/>
    </sheetView>
  </sheetViews>
  <sheetFormatPr baseColWidth="10" defaultRowHeight="16"/>
  <sheetData>
    <row r="1" spans="2:5">
      <c r="B1" t="s">
        <v>68</v>
      </c>
      <c r="C1" t="s">
        <v>69</v>
      </c>
      <c r="D1" t="s">
        <v>70</v>
      </c>
      <c r="E1" t="s">
        <v>71</v>
      </c>
    </row>
    <row r="2" spans="2:5">
      <c r="B2">
        <v>64.2</v>
      </c>
      <c r="C2">
        <v>2441.5</v>
      </c>
      <c r="D2">
        <v>15.9</v>
      </c>
      <c r="E2">
        <v>206.8</v>
      </c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workbookViewId="0">
      <selection sqref="A1:F4"/>
    </sheetView>
  </sheetViews>
  <sheetFormatPr baseColWidth="10" defaultRowHeight="16"/>
  <sheetData>
    <row r="1" spans="1:6">
      <c r="A1" s="1" t="s">
        <v>30</v>
      </c>
      <c r="B1" s="1" t="s">
        <v>31</v>
      </c>
      <c r="C1" s="1" t="s">
        <v>32</v>
      </c>
      <c r="D1" s="1"/>
      <c r="E1" s="1" t="s">
        <v>33</v>
      </c>
      <c r="F1" s="1"/>
    </row>
    <row r="2" spans="1:6">
      <c r="A2" s="1"/>
      <c r="B2" s="1"/>
      <c r="C2" t="s">
        <v>34</v>
      </c>
      <c r="D2" t="s">
        <v>35</v>
      </c>
      <c r="E2" t="s">
        <v>34</v>
      </c>
      <c r="F2" t="s">
        <v>35</v>
      </c>
    </row>
    <row r="3" spans="1:6">
      <c r="A3">
        <v>0</v>
      </c>
      <c r="B3">
        <v>300</v>
      </c>
      <c r="C3" s="2" t="s">
        <v>36</v>
      </c>
      <c r="D3">
        <v>8</v>
      </c>
      <c r="E3" t="s">
        <v>37</v>
      </c>
      <c r="F3">
        <v>35</v>
      </c>
    </row>
    <row r="4" spans="1:6">
      <c r="A4">
        <v>1</v>
      </c>
      <c r="B4">
        <v>100</v>
      </c>
      <c r="C4" t="s">
        <v>38</v>
      </c>
      <c r="D4">
        <v>40</v>
      </c>
      <c r="E4" t="s">
        <v>39</v>
      </c>
      <c r="F4">
        <v>150</v>
      </c>
    </row>
  </sheetData>
  <mergeCells count="4">
    <mergeCell ref="E1:F1"/>
    <mergeCell ref="A1:A2"/>
    <mergeCell ref="B1:B2"/>
    <mergeCell ref="C1:D1"/>
  </mergeCells>
  <phoneticPr fontId="1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1"/>
  <sheetViews>
    <sheetView workbookViewId="0">
      <selection activeCell="G31" sqref="A1:XFD1048576"/>
    </sheetView>
  </sheetViews>
  <sheetFormatPr baseColWidth="10" defaultRowHeight="16"/>
  <sheetData>
    <row r="1" spans="1:12">
      <c r="A1" s="1" t="s">
        <v>0</v>
      </c>
      <c r="B1" s="1"/>
      <c r="C1" s="1" t="s">
        <v>1</v>
      </c>
      <c r="D1" s="1"/>
      <c r="E1" s="1" t="s">
        <v>2</v>
      </c>
      <c r="F1" s="1"/>
      <c r="G1" s="1" t="s">
        <v>3</v>
      </c>
      <c r="H1" s="1"/>
      <c r="I1" s="1" t="s">
        <v>4</v>
      </c>
      <c r="J1" s="1"/>
      <c r="K1" s="1" t="s">
        <v>5</v>
      </c>
      <c r="L1" s="1"/>
    </row>
    <row r="2" spans="1:12">
      <c r="A2" s="1"/>
      <c r="B2" s="1"/>
      <c r="C2" s="3" t="s">
        <v>9</v>
      </c>
      <c r="D2" s="3" t="s">
        <v>10</v>
      </c>
      <c r="E2" s="3" t="s">
        <v>9</v>
      </c>
      <c r="F2" s="3" t="s">
        <v>10</v>
      </c>
      <c r="G2" s="3" t="s">
        <v>9</v>
      </c>
      <c r="H2" s="3" t="s">
        <v>10</v>
      </c>
      <c r="I2" s="3" t="s">
        <v>9</v>
      </c>
      <c r="J2" s="3" t="s">
        <v>10</v>
      </c>
      <c r="K2" s="3" t="s">
        <v>9</v>
      </c>
      <c r="L2" s="3" t="s">
        <v>10</v>
      </c>
    </row>
    <row r="3" spans="1:12">
      <c r="A3" s="1" t="s">
        <v>42</v>
      </c>
      <c r="B3" s="3" t="s">
        <v>40</v>
      </c>
      <c r="C3" s="3">
        <v>0.84699999999999998</v>
      </c>
      <c r="D3" s="3">
        <v>4</v>
      </c>
      <c r="E3" s="3">
        <v>-2.9000000000000001E-2</v>
      </c>
      <c r="F3" s="3">
        <v>13.6</v>
      </c>
      <c r="G3" s="3">
        <v>0.9</v>
      </c>
      <c r="H3" s="3">
        <v>3.3</v>
      </c>
      <c r="I3" s="5">
        <v>0.94099999999999995</v>
      </c>
      <c r="J3" s="5">
        <v>1.7</v>
      </c>
      <c r="K3" s="3">
        <v>0.91700000000000004</v>
      </c>
      <c r="L3" s="3">
        <v>2.8</v>
      </c>
    </row>
    <row r="4" spans="1:12">
      <c r="A4" s="1"/>
      <c r="B4" s="3" t="s">
        <v>41</v>
      </c>
      <c r="C4" s="3">
        <v>0.7</v>
      </c>
      <c r="D4" s="3">
        <v>4.5</v>
      </c>
      <c r="E4" s="3">
        <v>-9.8000000000000004E-2</v>
      </c>
      <c r="F4" s="3">
        <v>9.3000000000000007</v>
      </c>
      <c r="G4" s="3">
        <v>0.878</v>
      </c>
      <c r="H4" s="3">
        <v>2.9</v>
      </c>
      <c r="I4" s="5">
        <v>0.95</v>
      </c>
      <c r="J4" s="5">
        <v>1.9</v>
      </c>
      <c r="K4" s="3">
        <v>0.89100000000000001</v>
      </c>
      <c r="L4" s="3">
        <v>2.2000000000000002</v>
      </c>
    </row>
    <row r="5" spans="1:12">
      <c r="A5" s="1" t="s">
        <v>43</v>
      </c>
      <c r="B5" s="3" t="s">
        <v>40</v>
      </c>
      <c r="C5" s="3">
        <v>0.83599999999999997</v>
      </c>
      <c r="D5" s="3">
        <v>5</v>
      </c>
      <c r="E5" s="3">
        <v>8.9999999999999993E-3</v>
      </c>
      <c r="F5" s="3">
        <v>17.100000000000001</v>
      </c>
      <c r="G5" s="3">
        <v>0.68600000000000005</v>
      </c>
      <c r="H5" s="3">
        <v>7.4</v>
      </c>
      <c r="I5" s="3">
        <v>0.83399999999999996</v>
      </c>
      <c r="J5" s="3">
        <v>5.5</v>
      </c>
      <c r="K5" s="5">
        <v>0.90800000000000003</v>
      </c>
      <c r="L5" s="5">
        <v>3.6</v>
      </c>
    </row>
    <row r="6" spans="1:12">
      <c r="A6" s="1"/>
      <c r="B6" s="3" t="s">
        <v>41</v>
      </c>
      <c r="C6" s="3">
        <v>0.66400000000000003</v>
      </c>
      <c r="D6" s="3">
        <v>3.7</v>
      </c>
      <c r="E6" s="3">
        <v>-0.127</v>
      </c>
      <c r="F6" s="3">
        <v>8.1999999999999993</v>
      </c>
      <c r="G6" s="3">
        <v>0.41899999999999998</v>
      </c>
      <c r="H6" s="3">
        <v>6</v>
      </c>
      <c r="I6" s="3">
        <v>0.70099999999999996</v>
      </c>
      <c r="J6" s="3">
        <v>4.3</v>
      </c>
      <c r="K6" s="5">
        <v>0.82399999999999995</v>
      </c>
      <c r="L6" s="5">
        <v>2.8</v>
      </c>
    </row>
    <row r="17" spans="6:7">
      <c r="F17" s="4"/>
    </row>
    <row r="18" spans="6:7">
      <c r="F18" s="4"/>
    </row>
    <row r="20" spans="6:7">
      <c r="G20" s="4"/>
    </row>
    <row r="21" spans="6:7">
      <c r="G21" s="4"/>
    </row>
  </sheetData>
  <mergeCells count="8">
    <mergeCell ref="K1:L1"/>
    <mergeCell ref="A1:B2"/>
    <mergeCell ref="A3:A4"/>
    <mergeCell ref="A5:A6"/>
    <mergeCell ref="C1:D1"/>
    <mergeCell ref="E1:F1"/>
    <mergeCell ref="G1:H1"/>
    <mergeCell ref="I1:J1"/>
  </mergeCells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1"/>
  <sheetViews>
    <sheetView workbookViewId="0">
      <selection activeCell="K3" sqref="K3:L6"/>
    </sheetView>
  </sheetViews>
  <sheetFormatPr baseColWidth="10" defaultRowHeight="16"/>
  <sheetData>
    <row r="1" spans="1:12">
      <c r="A1" s="1" t="s">
        <v>0</v>
      </c>
      <c r="B1" s="1"/>
      <c r="C1" s="1" t="s">
        <v>1</v>
      </c>
      <c r="D1" s="1"/>
      <c r="E1" s="1" t="s">
        <v>2</v>
      </c>
      <c r="F1" s="1"/>
      <c r="G1" s="1" t="s">
        <v>3</v>
      </c>
      <c r="H1" s="1"/>
      <c r="I1" s="1" t="s">
        <v>4</v>
      </c>
      <c r="J1" s="1"/>
      <c r="K1" s="1" t="s">
        <v>5</v>
      </c>
      <c r="L1" s="1"/>
    </row>
    <row r="2" spans="1:12">
      <c r="A2" s="1"/>
      <c r="B2" s="1"/>
      <c r="C2" s="3" t="s">
        <v>9</v>
      </c>
      <c r="D2" s="3" t="s">
        <v>10</v>
      </c>
      <c r="E2" s="3" t="s">
        <v>9</v>
      </c>
      <c r="F2" s="3" t="s">
        <v>10</v>
      </c>
      <c r="G2" s="3" t="s">
        <v>9</v>
      </c>
      <c r="H2" s="3" t="s">
        <v>10</v>
      </c>
      <c r="I2" s="3" t="s">
        <v>9</v>
      </c>
      <c r="J2" s="3" t="s">
        <v>10</v>
      </c>
      <c r="K2" s="3" t="s">
        <v>9</v>
      </c>
      <c r="L2" s="3" t="s">
        <v>10</v>
      </c>
    </row>
    <row r="3" spans="1:12">
      <c r="A3" s="1" t="s">
        <v>42</v>
      </c>
      <c r="B3" s="3" t="s">
        <v>40</v>
      </c>
      <c r="C3" s="3">
        <v>0.84699999999999998</v>
      </c>
      <c r="D3" s="3">
        <v>4</v>
      </c>
      <c r="E3" s="3">
        <v>-2.9000000000000001E-2</v>
      </c>
      <c r="F3" s="3">
        <v>13.6</v>
      </c>
      <c r="G3" s="3">
        <v>0.9</v>
      </c>
      <c r="H3" s="3">
        <v>3.3</v>
      </c>
      <c r="I3" s="5">
        <v>0.94099999999999995</v>
      </c>
      <c r="J3" s="5">
        <v>1.7</v>
      </c>
      <c r="K3" s="3"/>
      <c r="L3" s="3"/>
    </row>
    <row r="4" spans="1:12">
      <c r="A4" s="1"/>
      <c r="B4" s="3" t="s">
        <v>41</v>
      </c>
      <c r="C4" s="3">
        <v>0.7</v>
      </c>
      <c r="D4" s="3">
        <v>4.5</v>
      </c>
      <c r="E4" s="3">
        <v>-9.8000000000000004E-2</v>
      </c>
      <c r="F4" s="3">
        <v>9.3000000000000007</v>
      </c>
      <c r="G4" s="3">
        <v>0.878</v>
      </c>
      <c r="H4" s="3">
        <v>2.9</v>
      </c>
      <c r="I4" s="5">
        <v>0.95</v>
      </c>
      <c r="J4" s="5">
        <v>1.9</v>
      </c>
      <c r="K4" s="3"/>
      <c r="L4" s="3"/>
    </row>
    <row r="5" spans="1:12">
      <c r="A5" s="1" t="s">
        <v>43</v>
      </c>
      <c r="B5" s="3" t="s">
        <v>40</v>
      </c>
      <c r="C5" s="3">
        <v>0.83599999999999997</v>
      </c>
      <c r="D5" s="3">
        <v>5</v>
      </c>
      <c r="E5" s="3">
        <v>8.9999999999999993E-3</v>
      </c>
      <c r="F5" s="3">
        <v>17.100000000000001</v>
      </c>
      <c r="G5" s="3">
        <v>0.68600000000000005</v>
      </c>
      <c r="H5" s="3">
        <v>7.4</v>
      </c>
      <c r="I5" s="3">
        <v>0.83399999999999996</v>
      </c>
      <c r="J5" s="3">
        <v>5.5</v>
      </c>
      <c r="K5" s="5"/>
      <c r="L5" s="5"/>
    </row>
    <row r="6" spans="1:12">
      <c r="A6" s="1"/>
      <c r="B6" s="3" t="s">
        <v>41</v>
      </c>
      <c r="C6" s="3">
        <v>0.66400000000000003</v>
      </c>
      <c r="D6" s="3">
        <v>3.7</v>
      </c>
      <c r="E6" s="3">
        <v>-0.127</v>
      </c>
      <c r="F6" s="3">
        <v>8.1999999999999993</v>
      </c>
      <c r="G6" s="3">
        <v>0.41899999999999998</v>
      </c>
      <c r="H6" s="3">
        <v>6</v>
      </c>
      <c r="I6" s="3">
        <v>0.70099999999999996</v>
      </c>
      <c r="J6" s="3">
        <v>4.3</v>
      </c>
      <c r="K6" s="5"/>
      <c r="L6" s="5"/>
    </row>
    <row r="17" spans="6:7">
      <c r="F17" s="4"/>
    </row>
    <row r="18" spans="6:7">
      <c r="F18" s="4"/>
    </row>
    <row r="20" spans="6:7">
      <c r="G20" s="4"/>
    </row>
    <row r="21" spans="6:7">
      <c r="G21" s="4"/>
    </row>
  </sheetData>
  <mergeCells count="8">
    <mergeCell ref="A3:A4"/>
    <mergeCell ref="A5:A6"/>
    <mergeCell ref="A1:B2"/>
    <mergeCell ref="C1:D1"/>
    <mergeCell ref="E1:F1"/>
    <mergeCell ref="G1:H1"/>
    <mergeCell ref="I1:J1"/>
    <mergeCell ref="K1:L1"/>
  </mergeCells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19"/>
  <sheetViews>
    <sheetView tabSelected="1" workbookViewId="0">
      <selection activeCell="G12" sqref="G12"/>
    </sheetView>
  </sheetViews>
  <sheetFormatPr baseColWidth="10" defaultRowHeight="16"/>
  <cols>
    <col min="2" max="2" width="43" customWidth="1"/>
    <col min="3" max="3" width="77.1640625" customWidth="1"/>
  </cols>
  <sheetData>
    <row r="2" spans="1:3" ht="18">
      <c r="A2" t="s">
        <v>11</v>
      </c>
      <c r="C2" t="s">
        <v>87</v>
      </c>
    </row>
    <row r="3" spans="1:3">
      <c r="A3" t="s">
        <v>12</v>
      </c>
      <c r="C3" t="s">
        <v>86</v>
      </c>
    </row>
    <row r="4" spans="1:3">
      <c r="A4" t="s">
        <v>13</v>
      </c>
      <c r="C4" t="s">
        <v>85</v>
      </c>
    </row>
    <row r="5" spans="1:3">
      <c r="A5" t="s">
        <v>14</v>
      </c>
      <c r="C5" t="s">
        <v>84</v>
      </c>
    </row>
    <row r="6" spans="1:3">
      <c r="A6" t="s">
        <v>15</v>
      </c>
      <c r="C6" t="s">
        <v>83</v>
      </c>
    </row>
    <row r="7" spans="1:3" ht="18">
      <c r="A7" t="s">
        <v>16</v>
      </c>
      <c r="C7" t="s">
        <v>82</v>
      </c>
    </row>
    <row r="8" spans="1:3">
      <c r="A8" t="s">
        <v>17</v>
      </c>
      <c r="C8" t="s">
        <v>81</v>
      </c>
    </row>
    <row r="9" spans="1:3">
      <c r="A9" t="s">
        <v>18</v>
      </c>
    </row>
    <row r="10" spans="1:3">
      <c r="A10" t="s">
        <v>19</v>
      </c>
      <c r="C10" t="s">
        <v>80</v>
      </c>
    </row>
    <row r="11" spans="1:3">
      <c r="A11" t="s">
        <v>20</v>
      </c>
      <c r="C11" t="s">
        <v>79</v>
      </c>
    </row>
    <row r="12" spans="1:3">
      <c r="A12" t="s">
        <v>21</v>
      </c>
      <c r="C12" t="s">
        <v>79</v>
      </c>
    </row>
    <row r="13" spans="1:3">
      <c r="A13" t="s">
        <v>22</v>
      </c>
      <c r="C13" t="s">
        <v>78</v>
      </c>
    </row>
    <row r="14" spans="1:3">
      <c r="A14" t="s">
        <v>23</v>
      </c>
      <c r="C14" t="s">
        <v>77</v>
      </c>
    </row>
    <row r="15" spans="1:3">
      <c r="A15" t="s">
        <v>24</v>
      </c>
      <c r="B15" s="15" t="s">
        <v>73</v>
      </c>
      <c r="C15" t="s">
        <v>74</v>
      </c>
    </row>
    <row r="16" spans="1:3">
      <c r="A16" t="s">
        <v>25</v>
      </c>
      <c r="B16" t="s">
        <v>73</v>
      </c>
      <c r="C16" t="s">
        <v>72</v>
      </c>
    </row>
    <row r="17" spans="1:3">
      <c r="A17" t="s">
        <v>26</v>
      </c>
      <c r="C17" t="s">
        <v>76</v>
      </c>
    </row>
    <row r="18" spans="1:3">
      <c r="A18" t="s">
        <v>27</v>
      </c>
      <c r="B18" s="15" t="s">
        <v>73</v>
      </c>
      <c r="C18" t="s">
        <v>75</v>
      </c>
    </row>
    <row r="19" spans="1:3">
      <c r="A19" t="s">
        <v>28</v>
      </c>
      <c r="C19" t="s">
        <v>88</v>
      </c>
    </row>
  </sheetData>
  <phoneticPr fontId="18" type="noConversion"/>
  <hyperlinks>
    <hyperlink ref="B18" r:id="rId1" display="https://opencores-jpegencoder.readthedocs.io/"/>
    <hyperlink ref="B15" r:id="rId2" display="https://opencores-jpegencoder.readthedocs.io/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res open</vt:lpstr>
      <vt:lpstr>res open new</vt:lpstr>
      <vt:lpstr>abl set</vt:lpstr>
      <vt:lpstr>res abl</vt:lpstr>
      <vt:lpstr>Sheet5</vt:lpstr>
      <vt:lpstr>runtime</vt:lpstr>
      <vt:lpstr>data syn</vt:lpstr>
      <vt:lpstr>res syn</vt:lpstr>
      <vt:lpstr>res syn new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ziyi wang</dc:creator>
  <cp:lastModifiedBy>ziyi wang</cp:lastModifiedBy>
  <dcterms:created xsi:type="dcterms:W3CDTF">2025-03-31T18:51:11Z</dcterms:created>
  <dcterms:modified xsi:type="dcterms:W3CDTF">2025-04-11T03:12:25Z</dcterms:modified>
</cp:coreProperties>
</file>